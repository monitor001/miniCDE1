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Thanh\Desktop\"/>
    </mc:Choice>
  </mc:AlternateContent>
  <xr:revisionPtr revIDLastSave="0" documentId="8_{DF232D64-2D43-4E4E-A4F2-403816257ECA}" xr6:coauthVersionLast="47" xr6:coauthVersionMax="47" xr10:uidLastSave="{00000000-0000-0000-0000-000000000000}"/>
  <bookViews>
    <workbookView xWindow="-120" yWindow="-120" windowWidth="29040" windowHeight="15840" activeTab="1" xr2:uid="{CFF4F6CA-F3DE-410D-B1BC-7B16BA222FF4}"/>
  </bookViews>
  <sheets>
    <sheet name="N12-N12A" sheetId="2" r:id="rId1"/>
    <sheet name="N16-N17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5" i="3" l="1"/>
  <c r="W45" i="3"/>
  <c r="V45" i="3"/>
  <c r="U45" i="3"/>
  <c r="T45" i="3"/>
  <c r="S45" i="3"/>
  <c r="R45" i="3"/>
  <c r="Q45" i="3"/>
  <c r="P45" i="3"/>
  <c r="O45" i="3"/>
  <c r="N45" i="3"/>
  <c r="X43" i="3"/>
  <c r="W43" i="3"/>
  <c r="V43" i="3"/>
  <c r="U43" i="3"/>
  <c r="T43" i="3"/>
  <c r="S43" i="3"/>
  <c r="R43" i="3"/>
  <c r="Q43" i="3"/>
  <c r="P43" i="3"/>
  <c r="O43" i="3"/>
  <c r="N43" i="3"/>
  <c r="X41" i="3"/>
  <c r="W41" i="3"/>
  <c r="V41" i="3"/>
  <c r="U41" i="3"/>
  <c r="T41" i="3"/>
  <c r="S41" i="3"/>
  <c r="R41" i="3"/>
  <c r="Q41" i="3"/>
  <c r="P41" i="3"/>
  <c r="O41" i="3"/>
  <c r="N41" i="3"/>
  <c r="X39" i="3"/>
  <c r="W39" i="3"/>
  <c r="V39" i="3"/>
  <c r="U39" i="3"/>
  <c r="T39" i="3"/>
  <c r="S39" i="3"/>
  <c r="R39" i="3"/>
  <c r="Q39" i="3"/>
  <c r="P39" i="3"/>
  <c r="O39" i="3"/>
  <c r="N39" i="3"/>
  <c r="X37" i="3"/>
  <c r="W37" i="3"/>
  <c r="V37" i="3"/>
  <c r="U37" i="3"/>
  <c r="T37" i="3"/>
  <c r="S37" i="3"/>
  <c r="R37" i="3"/>
  <c r="Q37" i="3"/>
  <c r="P37" i="3"/>
  <c r="O37" i="3"/>
  <c r="N37" i="3"/>
  <c r="X35" i="3"/>
  <c r="W35" i="3"/>
  <c r="V35" i="3"/>
  <c r="U35" i="3"/>
  <c r="T35" i="3"/>
  <c r="S35" i="3"/>
  <c r="R35" i="3"/>
  <c r="Q35" i="3"/>
  <c r="P35" i="3"/>
  <c r="O35" i="3"/>
  <c r="N35" i="3"/>
  <c r="X33" i="3"/>
  <c r="W33" i="3"/>
  <c r="V33" i="3"/>
  <c r="U33" i="3"/>
  <c r="T33" i="3"/>
  <c r="S33" i="3"/>
  <c r="R33" i="3"/>
  <c r="Q33" i="3"/>
  <c r="P33" i="3"/>
  <c r="O33" i="3"/>
  <c r="N33" i="3"/>
  <c r="X31" i="3"/>
  <c r="W31" i="3"/>
  <c r="V31" i="3"/>
  <c r="U31" i="3"/>
  <c r="T31" i="3"/>
  <c r="S31" i="3"/>
  <c r="R31" i="3"/>
  <c r="Q31" i="3"/>
  <c r="P31" i="3"/>
  <c r="O31" i="3"/>
  <c r="N31" i="3"/>
  <c r="X29" i="3"/>
  <c r="W29" i="3"/>
  <c r="V29" i="3"/>
  <c r="U29" i="3"/>
  <c r="T29" i="3"/>
  <c r="S29" i="3"/>
  <c r="R29" i="3"/>
  <c r="Q29" i="3"/>
  <c r="P29" i="3"/>
  <c r="O29" i="3"/>
  <c r="N29" i="3"/>
  <c r="X27" i="3"/>
  <c r="W27" i="3"/>
  <c r="V27" i="3"/>
  <c r="U27" i="3"/>
  <c r="T27" i="3"/>
  <c r="S27" i="3"/>
  <c r="R27" i="3"/>
  <c r="Q27" i="3"/>
  <c r="P27" i="3"/>
  <c r="O27" i="3"/>
  <c r="N27" i="3"/>
  <c r="X25" i="3"/>
  <c r="W25" i="3"/>
  <c r="V25" i="3"/>
  <c r="U25" i="3"/>
  <c r="T25" i="3"/>
  <c r="S25" i="3"/>
  <c r="R25" i="3"/>
  <c r="Q25" i="3"/>
  <c r="P25" i="3"/>
  <c r="O25" i="3"/>
  <c r="N25" i="3"/>
  <c r="X23" i="3"/>
  <c r="W23" i="3"/>
  <c r="V23" i="3"/>
  <c r="U23" i="3"/>
  <c r="T23" i="3"/>
  <c r="S23" i="3"/>
  <c r="R23" i="3"/>
  <c r="Q23" i="3"/>
  <c r="P23" i="3"/>
  <c r="O23" i="3"/>
  <c r="N23" i="3"/>
  <c r="X21" i="3"/>
  <c r="W21" i="3"/>
  <c r="V21" i="3"/>
  <c r="U21" i="3"/>
  <c r="T21" i="3"/>
  <c r="S21" i="3"/>
  <c r="R21" i="3"/>
  <c r="Q21" i="3"/>
  <c r="P21" i="3"/>
  <c r="O21" i="3"/>
  <c r="N21" i="3"/>
  <c r="X19" i="3"/>
  <c r="W19" i="3"/>
  <c r="V19" i="3"/>
  <c r="U19" i="3"/>
  <c r="T19" i="3"/>
  <c r="S19" i="3"/>
  <c r="R19" i="3"/>
  <c r="Q19" i="3"/>
  <c r="P19" i="3"/>
  <c r="O19" i="3"/>
  <c r="N19" i="3"/>
  <c r="X17" i="3"/>
  <c r="W17" i="3"/>
  <c r="V17" i="3"/>
  <c r="U17" i="3"/>
  <c r="T17" i="3"/>
  <c r="S17" i="3"/>
  <c r="R17" i="3"/>
  <c r="Q17" i="3"/>
  <c r="P17" i="3"/>
  <c r="O17" i="3"/>
  <c r="N17" i="3"/>
  <c r="X15" i="3"/>
  <c r="W15" i="3"/>
  <c r="V15" i="3"/>
  <c r="U15" i="3"/>
  <c r="T15" i="3"/>
  <c r="S15" i="3"/>
  <c r="R15" i="3"/>
  <c r="Q15" i="3"/>
  <c r="P15" i="3"/>
  <c r="O15" i="3"/>
  <c r="N15" i="3"/>
  <c r="X13" i="3"/>
  <c r="W13" i="3"/>
  <c r="V13" i="3"/>
  <c r="U13" i="3"/>
  <c r="T13" i="3"/>
  <c r="S13" i="3"/>
  <c r="R13" i="3"/>
  <c r="Q13" i="3"/>
  <c r="P13" i="3"/>
  <c r="O13" i="3"/>
  <c r="N13" i="3"/>
  <c r="X11" i="3"/>
  <c r="W11" i="3"/>
  <c r="V11" i="3"/>
  <c r="U11" i="3"/>
  <c r="T11" i="3"/>
  <c r="S11" i="3"/>
  <c r="R11" i="3"/>
  <c r="Q11" i="3"/>
  <c r="P11" i="3"/>
  <c r="O11" i="3"/>
  <c r="N11" i="3"/>
  <c r="X9" i="3"/>
  <c r="W9" i="3"/>
  <c r="V9" i="3"/>
  <c r="U9" i="3"/>
  <c r="T9" i="3"/>
  <c r="S9" i="3"/>
  <c r="R9" i="3"/>
  <c r="Q9" i="3"/>
  <c r="P9" i="3"/>
  <c r="O9" i="3"/>
  <c r="N9" i="3"/>
  <c r="X7" i="3"/>
  <c r="W7" i="3"/>
  <c r="V7" i="3"/>
  <c r="U7" i="3"/>
  <c r="T7" i="3"/>
  <c r="S7" i="3"/>
  <c r="R7" i="3"/>
  <c r="Q7" i="3"/>
  <c r="P7" i="3"/>
  <c r="O7" i="3"/>
  <c r="N7" i="3"/>
  <c r="X5" i="3"/>
  <c r="W5" i="3"/>
  <c r="V5" i="3"/>
  <c r="U5" i="3"/>
  <c r="T5" i="3"/>
  <c r="S5" i="3"/>
  <c r="R5" i="3"/>
  <c r="Q5" i="3"/>
  <c r="P5" i="3"/>
  <c r="O5" i="3"/>
  <c r="N5" i="3"/>
  <c r="V25" i="2"/>
  <c r="U25" i="2"/>
  <c r="T25" i="2"/>
  <c r="S25" i="2"/>
  <c r="R25" i="2"/>
  <c r="Q25" i="2"/>
  <c r="P25" i="2"/>
  <c r="O25" i="2"/>
  <c r="N25" i="2"/>
  <c r="M25" i="2"/>
  <c r="V23" i="2"/>
  <c r="U23" i="2"/>
  <c r="T23" i="2"/>
  <c r="S23" i="2"/>
  <c r="R23" i="2"/>
  <c r="Q23" i="2"/>
  <c r="P23" i="2"/>
  <c r="O23" i="2"/>
  <c r="N23" i="2"/>
  <c r="M23" i="2"/>
  <c r="V21" i="2"/>
  <c r="U21" i="2"/>
  <c r="T21" i="2"/>
  <c r="S21" i="2"/>
  <c r="R21" i="2"/>
  <c r="Q21" i="2"/>
  <c r="P21" i="2"/>
  <c r="O21" i="2"/>
  <c r="N21" i="2"/>
  <c r="M21" i="2"/>
  <c r="V19" i="2"/>
  <c r="U19" i="2"/>
  <c r="T19" i="2"/>
  <c r="S19" i="2"/>
  <c r="R19" i="2"/>
  <c r="Q19" i="2"/>
  <c r="P19" i="2"/>
  <c r="O19" i="2"/>
  <c r="N19" i="2"/>
  <c r="M19" i="2"/>
  <c r="V17" i="2"/>
  <c r="U17" i="2"/>
  <c r="T17" i="2"/>
  <c r="S17" i="2"/>
  <c r="R17" i="2"/>
  <c r="Q17" i="2"/>
  <c r="P17" i="2"/>
  <c r="O17" i="2"/>
  <c r="N17" i="2"/>
  <c r="M17" i="2"/>
  <c r="V15" i="2"/>
  <c r="U15" i="2"/>
  <c r="T15" i="2"/>
  <c r="S15" i="2"/>
  <c r="R15" i="2"/>
  <c r="Q15" i="2"/>
  <c r="P15" i="2"/>
  <c r="O15" i="2"/>
  <c r="N15" i="2"/>
  <c r="M15" i="2"/>
  <c r="V13" i="2"/>
  <c r="U13" i="2"/>
  <c r="T13" i="2"/>
  <c r="S13" i="2"/>
  <c r="R13" i="2"/>
  <c r="Q13" i="2"/>
  <c r="P13" i="2"/>
  <c r="O13" i="2"/>
  <c r="N13" i="2"/>
  <c r="M13" i="2"/>
  <c r="V11" i="2"/>
  <c r="U11" i="2"/>
  <c r="T11" i="2"/>
  <c r="S11" i="2"/>
  <c r="R11" i="2"/>
  <c r="Q11" i="2"/>
  <c r="P11" i="2"/>
  <c r="O11" i="2"/>
  <c r="N11" i="2"/>
  <c r="M11" i="2"/>
  <c r="V9" i="2"/>
  <c r="U9" i="2"/>
  <c r="T9" i="2"/>
  <c r="S9" i="2"/>
  <c r="R9" i="2"/>
  <c r="Q9" i="2"/>
  <c r="P9" i="2"/>
  <c r="O9" i="2"/>
  <c r="N9" i="2"/>
  <c r="M9" i="2"/>
  <c r="V7" i="2"/>
  <c r="U7" i="2"/>
  <c r="T7" i="2"/>
  <c r="S7" i="2"/>
  <c r="R7" i="2"/>
  <c r="Q7" i="2"/>
  <c r="P7" i="2"/>
  <c r="O7" i="2"/>
  <c r="N7" i="2"/>
  <c r="M7" i="2"/>
  <c r="V5" i="2"/>
  <c r="U5" i="2"/>
  <c r="T5" i="2"/>
  <c r="S5" i="2"/>
  <c r="R5" i="2"/>
  <c r="Q5" i="2"/>
  <c r="P5" i="2"/>
  <c r="O5" i="2"/>
  <c r="N5" i="2"/>
  <c r="M5" i="2"/>
</calcChain>
</file>

<file path=xl/sharedStrings.xml><?xml version="1.0" encoding="utf-8"?>
<sst xmlns="http://schemas.openxmlformats.org/spreadsheetml/2006/main" count="78" uniqueCount="39">
  <si>
    <t>B¶ng tæng hîp khèi l­îng : N12-N12A</t>
  </si>
  <si>
    <t>Tªn cäc</t>
  </si>
  <si>
    <t>K.C¸ch lÎ</t>
  </si>
  <si>
    <t>DiÖn tÝch</t>
  </si>
  <si>
    <t>Khèi l­îng</t>
  </si>
  <si>
    <t>S. VÐt h÷u c¬</t>
  </si>
  <si>
    <t>S. §µo nÒn</t>
  </si>
  <si>
    <t>S. §µo khu«n</t>
  </si>
  <si>
    <t>S. X¸o xíi K95</t>
  </si>
  <si>
    <t>S. §¾p nÒn K95</t>
  </si>
  <si>
    <t>S. §¾p nÒn K90</t>
  </si>
  <si>
    <t>S. §µo R·nh</t>
  </si>
  <si>
    <t>B. MÆt ®­êng</t>
  </si>
  <si>
    <t>S. BTXM M250</t>
  </si>
  <si>
    <t>S. C¸t ®Öm</t>
  </si>
  <si>
    <t>N12</t>
  </si>
  <si>
    <t>D1</t>
  </si>
  <si>
    <t>D2</t>
  </si>
  <si>
    <t>D3</t>
  </si>
  <si>
    <t>N12A</t>
  </si>
  <si>
    <t>Tæng</t>
  </si>
  <si>
    <t>B¶ng tæng hîp khèi l­îng : N16-N17</t>
  </si>
  <si>
    <t>S. §¸nh cÊp</t>
  </si>
  <si>
    <t>N16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</si>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</sst>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.VnArial Narrow"/>
      <family val="2"/>
    </font>
    <font>
      <b/>
      <sz val="12"/>
      <color theme="1"/>
      <name val=".Vn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B0F4-A61B-4279-B6CE-22CB383DCA63}">
  <dimension ref="A1:V25"/>
  <sheetViews>
    <sheetView workbookViewId="0"/>
  </sheetViews>
  <sheetFormatPr defaultColWidth="12.7109375" defaultRowHeight="15" x14ac:dyDescent="0.25"/>
  <sheetData>
    <row r="1" spans="1:22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x14ac:dyDescent="0.25">
      <c r="A2" s="6" t="s">
        <v>1</v>
      </c>
      <c r="B2" s="6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5"/>
      <c r="M2" s="3" t="s">
        <v>4</v>
      </c>
      <c r="N2" s="4"/>
      <c r="O2" s="4"/>
      <c r="P2" s="4"/>
      <c r="Q2" s="4"/>
      <c r="R2" s="4"/>
      <c r="S2" s="4"/>
      <c r="T2" s="4"/>
      <c r="U2" s="4"/>
      <c r="V2" s="5"/>
    </row>
    <row r="3" spans="1:22" ht="30" x14ac:dyDescent="0.25">
      <c r="A3" s="7"/>
      <c r="B3" s="7"/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5</v>
      </c>
      <c r="N3" s="8" t="s">
        <v>6</v>
      </c>
      <c r="O3" s="8" t="s">
        <v>7</v>
      </c>
      <c r="P3" s="8" t="s">
        <v>8</v>
      </c>
      <c r="Q3" s="8" t="s">
        <v>9</v>
      </c>
      <c r="R3" s="8" t="s">
        <v>10</v>
      </c>
      <c r="S3" s="8" t="s">
        <v>11</v>
      </c>
      <c r="T3" s="8" t="s">
        <v>12</v>
      </c>
      <c r="U3" s="8" t="s">
        <v>13</v>
      </c>
      <c r="V3" s="8" t="s">
        <v>14</v>
      </c>
    </row>
    <row r="4" spans="1:22" x14ac:dyDescent="0.25">
      <c r="A4" s="1" t="s">
        <v>15</v>
      </c>
      <c r="B4" s="1"/>
      <c r="C4" s="1">
        <v>1.26</v>
      </c>
      <c r="D4" s="1">
        <v>0</v>
      </c>
      <c r="E4" s="1">
        <v>0</v>
      </c>
      <c r="F4" s="1">
        <v>0</v>
      </c>
      <c r="G4" s="1">
        <v>0.45</v>
      </c>
      <c r="H4" s="1">
        <v>1.68</v>
      </c>
      <c r="I4" s="1">
        <v>0.31</v>
      </c>
      <c r="J4" s="1">
        <v>1.5</v>
      </c>
      <c r="K4" s="1">
        <v>0.1</v>
      </c>
      <c r="L4" s="1">
        <v>0.08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/>
      <c r="B5" s="1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2">
        <f>ROUND((C4+C6)/2*$B5,2)</f>
        <v>30.6</v>
      </c>
      <c r="N5" s="2">
        <f>ROUND((D4+D6)/2*$B5,2)</f>
        <v>0</v>
      </c>
      <c r="O5" s="2">
        <f>ROUND((E4+E6)/2*$B5,2)</f>
        <v>0</v>
      </c>
      <c r="P5" s="2">
        <f>ROUND((F4+F6)/2*$B5,2)</f>
        <v>0</v>
      </c>
      <c r="Q5" s="2">
        <f>ROUND((G4+G6)/2*$B5,2)</f>
        <v>9</v>
      </c>
      <c r="R5" s="2">
        <f>ROUND((H4+H6)/2*$B5,2)</f>
        <v>73.3</v>
      </c>
      <c r="S5" s="2">
        <f>ROUND((I4+I6)/2*$B5,2)</f>
        <v>3.1</v>
      </c>
      <c r="T5" s="2">
        <f>ROUND((J4+J6)/2*$B5,2)</f>
        <v>30</v>
      </c>
      <c r="U5" s="2">
        <f>ROUND((K4+K6)/2*$B5,2)</f>
        <v>2</v>
      </c>
      <c r="V5" s="2">
        <f>ROUND((L4+L6)/2*$B5,2)</f>
        <v>1.6</v>
      </c>
    </row>
    <row r="6" spans="1:22" x14ac:dyDescent="0.25">
      <c r="A6" s="1">
        <v>2</v>
      </c>
      <c r="B6" s="1"/>
      <c r="C6" s="1">
        <v>1.8</v>
      </c>
      <c r="D6" s="1">
        <v>0</v>
      </c>
      <c r="E6" s="1">
        <v>0</v>
      </c>
      <c r="F6" s="1">
        <v>0</v>
      </c>
      <c r="G6" s="1">
        <v>0.45</v>
      </c>
      <c r="H6" s="1">
        <v>5.65</v>
      </c>
      <c r="I6" s="1">
        <v>0</v>
      </c>
      <c r="J6" s="1">
        <v>1.5</v>
      </c>
      <c r="K6" s="1">
        <v>0.1</v>
      </c>
      <c r="L6" s="1">
        <v>0.08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>
        <v>8.6999999999999993</v>
      </c>
      <c r="C7" s="1"/>
      <c r="D7" s="1"/>
      <c r="E7" s="1"/>
      <c r="F7" s="1"/>
      <c r="G7" s="1"/>
      <c r="H7" s="1"/>
      <c r="I7" s="1"/>
      <c r="J7" s="1"/>
      <c r="K7" s="1"/>
      <c r="L7" s="1"/>
      <c r="M7" s="2">
        <f>ROUND((C6+C8)/2*$B7,2)</f>
        <v>10.61</v>
      </c>
      <c r="N7" s="2">
        <f>ROUND((D6+D8)/2*$B7,2)</f>
        <v>2.65</v>
      </c>
      <c r="O7" s="2">
        <f>ROUND((E6+E8)/2*$B7,2)</f>
        <v>0.17</v>
      </c>
      <c r="P7" s="2">
        <f>ROUND((F6+F8)/2*$B7,2)</f>
        <v>1.35</v>
      </c>
      <c r="Q7" s="2">
        <f>ROUND((G6+G8)/2*$B7,2)</f>
        <v>2.57</v>
      </c>
      <c r="R7" s="2">
        <f>ROUND((H6+H8)/2*$B7,2)</f>
        <v>27.49</v>
      </c>
      <c r="S7" s="2">
        <f>ROUND((I6+I8)/2*$B7,2)</f>
        <v>1.22</v>
      </c>
      <c r="T7" s="2">
        <f>ROUND((J6+J8)/2*$B7,2)</f>
        <v>13.05</v>
      </c>
      <c r="U7" s="2">
        <f>ROUND((K6+K8)/2*$B7,2)</f>
        <v>0.87</v>
      </c>
      <c r="V7" s="2">
        <f>ROUND((L6+L8)/2*$B7,2)</f>
        <v>0.7</v>
      </c>
    </row>
    <row r="8" spans="1:22" x14ac:dyDescent="0.25">
      <c r="A8" s="1" t="s">
        <v>16</v>
      </c>
      <c r="B8" s="1"/>
      <c r="C8" s="1">
        <v>0.64</v>
      </c>
      <c r="D8" s="1">
        <v>0.61</v>
      </c>
      <c r="E8" s="1">
        <v>0.04</v>
      </c>
      <c r="F8" s="1">
        <v>0.31</v>
      </c>
      <c r="G8" s="1">
        <v>0.14000000000000001</v>
      </c>
      <c r="H8" s="1">
        <v>0.67</v>
      </c>
      <c r="I8" s="1">
        <v>0.28000000000000003</v>
      </c>
      <c r="J8" s="1">
        <v>1.5</v>
      </c>
      <c r="K8" s="1">
        <v>0.1</v>
      </c>
      <c r="L8" s="1">
        <v>0.08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>
        <v>11.3</v>
      </c>
      <c r="C9" s="1"/>
      <c r="D9" s="1"/>
      <c r="E9" s="1"/>
      <c r="F9" s="1"/>
      <c r="G9" s="1"/>
      <c r="H9" s="1"/>
      <c r="I9" s="1"/>
      <c r="J9" s="1"/>
      <c r="K9" s="1"/>
      <c r="L9" s="1"/>
      <c r="M9" s="2">
        <f>ROUND((C8+C10)/2*$B9,2)</f>
        <v>3.62</v>
      </c>
      <c r="N9" s="2">
        <f>ROUND((D8+D10)/2*$B9,2)</f>
        <v>36.78</v>
      </c>
      <c r="O9" s="2">
        <f>ROUND((E8+E10)/2*$B9,2)</f>
        <v>0.68</v>
      </c>
      <c r="P9" s="2">
        <f>ROUND((F8+F10)/2*$B9,2)</f>
        <v>4.8600000000000003</v>
      </c>
      <c r="Q9" s="2">
        <f>ROUND((G8+G10)/2*$B9,2)</f>
        <v>0.79</v>
      </c>
      <c r="R9" s="2">
        <f>ROUND((H8+H10)/2*$B9,2)</f>
        <v>3.79</v>
      </c>
      <c r="S9" s="2">
        <f>ROUND((I8+I10)/2*$B9,2)</f>
        <v>3.39</v>
      </c>
      <c r="T9" s="2">
        <f>ROUND((J8+J10)/2*$B9,2)</f>
        <v>16.95</v>
      </c>
      <c r="U9" s="2">
        <f>ROUND((K8+K10)/2*$B9,2)</f>
        <v>1.1299999999999999</v>
      </c>
      <c r="V9" s="2">
        <f>ROUND((L8+L10)/2*$B9,2)</f>
        <v>0.9</v>
      </c>
    </row>
    <row r="10" spans="1:22" x14ac:dyDescent="0.25">
      <c r="A10" s="1">
        <v>3</v>
      </c>
      <c r="B10" s="1"/>
      <c r="C10" s="1">
        <v>0</v>
      </c>
      <c r="D10" s="1">
        <v>5.9</v>
      </c>
      <c r="E10" s="1">
        <v>0.08</v>
      </c>
      <c r="F10" s="1">
        <v>0.55000000000000004</v>
      </c>
      <c r="G10" s="1">
        <v>0</v>
      </c>
      <c r="H10" s="1">
        <v>0</v>
      </c>
      <c r="I10" s="1">
        <v>0.32</v>
      </c>
      <c r="J10" s="1">
        <v>1.5</v>
      </c>
      <c r="K10" s="1">
        <v>0.1</v>
      </c>
      <c r="L10" s="1">
        <v>0.08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2">
        <f>ROUND((C10+C12)/2*$B11,2)</f>
        <v>0</v>
      </c>
      <c r="N11" s="2">
        <f>ROUND((D10+D12)/2*$B11,2)</f>
        <v>102.4</v>
      </c>
      <c r="O11" s="2">
        <f>ROUND((E10+E12)/2*$B11,2)</f>
        <v>1.6</v>
      </c>
      <c r="P11" s="2">
        <f>ROUND((F10+F12)/2*$B11,2)</f>
        <v>11</v>
      </c>
      <c r="Q11" s="2">
        <f>ROUND((G10+G12)/2*$B11,2)</f>
        <v>0</v>
      </c>
      <c r="R11" s="2">
        <f>ROUND((H10+H12)/2*$B11,2)</f>
        <v>0</v>
      </c>
      <c r="S11" s="2">
        <f>ROUND((I10+I12)/2*$B11,2)</f>
        <v>6.4</v>
      </c>
      <c r="T11" s="2">
        <f>ROUND((J10+J12)/2*$B11,2)</f>
        <v>30</v>
      </c>
      <c r="U11" s="2">
        <f>ROUND((K10+K12)/2*$B11,2)</f>
        <v>2</v>
      </c>
      <c r="V11" s="2">
        <f>ROUND((L10+L12)/2*$B11,2)</f>
        <v>1.6</v>
      </c>
    </row>
    <row r="12" spans="1:22" x14ac:dyDescent="0.25">
      <c r="A12" s="1">
        <v>4</v>
      </c>
      <c r="B12" s="1"/>
      <c r="C12" s="1">
        <v>0</v>
      </c>
      <c r="D12" s="1">
        <v>4.34</v>
      </c>
      <c r="E12" s="1">
        <v>0.08</v>
      </c>
      <c r="F12" s="1">
        <v>0.55000000000000004</v>
      </c>
      <c r="G12" s="1">
        <v>0</v>
      </c>
      <c r="H12" s="1">
        <v>0</v>
      </c>
      <c r="I12" s="1">
        <v>0.32</v>
      </c>
      <c r="J12" s="1">
        <v>1.5</v>
      </c>
      <c r="K12" s="1">
        <v>0.1</v>
      </c>
      <c r="L12" s="1">
        <v>0.08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>
        <v>15.75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2">
        <f>ROUND((C12+C14)/2*$B13,2)</f>
        <v>0</v>
      </c>
      <c r="N13" s="2">
        <f>ROUND((D12+D14)/2*$B13,2)</f>
        <v>68.75</v>
      </c>
      <c r="O13" s="2">
        <f>ROUND((E12+E14)/2*$B13,2)</f>
        <v>1.26</v>
      </c>
      <c r="P13" s="2">
        <f>ROUND((F12+F14)/2*$B13,2)</f>
        <v>8.66</v>
      </c>
      <c r="Q13" s="2">
        <f>ROUND((G12+G14)/2*$B13,2)</f>
        <v>0</v>
      </c>
      <c r="R13" s="2">
        <f>ROUND((H12+H14)/2*$B13,2)</f>
        <v>0</v>
      </c>
      <c r="S13" s="2">
        <f>ROUND((I12+I14)/2*$B13,2)</f>
        <v>5.04</v>
      </c>
      <c r="T13" s="2">
        <f>ROUND((J12+J14)/2*$B13,2)</f>
        <v>23.63</v>
      </c>
      <c r="U13" s="2">
        <f>ROUND((K12+K14)/2*$B13,2)</f>
        <v>1.58</v>
      </c>
      <c r="V13" s="2">
        <f>ROUND((L12+L14)/2*$B13,2)</f>
        <v>1.26</v>
      </c>
    </row>
    <row r="14" spans="1:22" x14ac:dyDescent="0.25">
      <c r="A14" s="1" t="s">
        <v>17</v>
      </c>
      <c r="B14" s="1"/>
      <c r="C14" s="1">
        <v>0</v>
      </c>
      <c r="D14" s="1">
        <v>4.3899999999999997</v>
      </c>
      <c r="E14" s="1">
        <v>0.08</v>
      </c>
      <c r="F14" s="1">
        <v>0.55000000000000004</v>
      </c>
      <c r="G14" s="1">
        <v>0</v>
      </c>
      <c r="H14" s="1">
        <v>0</v>
      </c>
      <c r="I14" s="1">
        <v>0.32</v>
      </c>
      <c r="J14" s="1">
        <v>1.5</v>
      </c>
      <c r="K14" s="1">
        <v>0.1</v>
      </c>
      <c r="L14" s="1">
        <v>0.08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>
        <v>11.27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2">
        <f>ROUND((C14+C16)/2*$B15,2)</f>
        <v>3.27</v>
      </c>
      <c r="N15" s="2">
        <f>ROUND((D14+D16)/2*$B15,2)</f>
        <v>26.37</v>
      </c>
      <c r="O15" s="2">
        <f>ROUND((E14+E16)/2*$B15,2)</f>
        <v>0.68</v>
      </c>
      <c r="P15" s="2">
        <f>ROUND((F14+F16)/2*$B15,2)</f>
        <v>5.0199999999999996</v>
      </c>
      <c r="Q15" s="2">
        <f>ROUND((G14+G16)/2*$B15,2)</f>
        <v>0.62</v>
      </c>
      <c r="R15" s="2">
        <f>ROUND((H14+H16)/2*$B15,2)</f>
        <v>2.54</v>
      </c>
      <c r="S15" s="2">
        <f>ROUND((I14+I16)/2*$B15,2)</f>
        <v>3.61</v>
      </c>
      <c r="T15" s="2">
        <f>ROUND((J14+J16)/2*$B15,2)</f>
        <v>16.91</v>
      </c>
      <c r="U15" s="2">
        <f>ROUND((K14+K16)/2*$B15,2)</f>
        <v>1.1299999999999999</v>
      </c>
      <c r="V15" s="2">
        <f>ROUND((L14+L16)/2*$B15,2)</f>
        <v>0.9</v>
      </c>
    </row>
    <row r="16" spans="1:22" x14ac:dyDescent="0.25">
      <c r="A16" s="1">
        <v>5</v>
      </c>
      <c r="B16" s="1"/>
      <c r="C16" s="1">
        <v>0.57999999999999996</v>
      </c>
      <c r="D16" s="1">
        <v>0.28999999999999998</v>
      </c>
      <c r="E16" s="1">
        <v>0.04</v>
      </c>
      <c r="F16" s="1">
        <v>0.34</v>
      </c>
      <c r="G16" s="1">
        <v>0.11</v>
      </c>
      <c r="H16" s="1">
        <v>0.45</v>
      </c>
      <c r="I16" s="1">
        <v>0.32</v>
      </c>
      <c r="J16" s="1">
        <v>1.5</v>
      </c>
      <c r="K16" s="1">
        <v>0.1</v>
      </c>
      <c r="L16" s="1">
        <v>0.08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>
        <v>11.27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2">
        <f>ROUND((C16+C18)/2*$B17,2)</f>
        <v>5.41</v>
      </c>
      <c r="N17" s="2">
        <f>ROUND((D16+D18)/2*$B17,2)</f>
        <v>5.24</v>
      </c>
      <c r="O17" s="2">
        <f>ROUND((E16+E18)/2*$B17,2)</f>
        <v>0.62</v>
      </c>
      <c r="P17" s="2">
        <f>ROUND((F16+F18)/2*$B17,2)</f>
        <v>4.8499999999999996</v>
      </c>
      <c r="Q17" s="2">
        <f>ROUND((G16+G18)/2*$B17,2)</f>
        <v>0.62</v>
      </c>
      <c r="R17" s="2">
        <f>ROUND((H16+H18)/2*$B17,2)</f>
        <v>4.8499999999999996</v>
      </c>
      <c r="S17" s="2">
        <f>ROUND((I16+I18)/2*$B17,2)</f>
        <v>3.61</v>
      </c>
      <c r="T17" s="2">
        <f>ROUND((J16+J18)/2*$B17,2)</f>
        <v>16.91</v>
      </c>
      <c r="U17" s="2">
        <f>ROUND((K16+K18)/2*$B17,2)</f>
        <v>1.1299999999999999</v>
      </c>
      <c r="V17" s="2">
        <f>ROUND((L16+L18)/2*$B17,2)</f>
        <v>0.9</v>
      </c>
    </row>
    <row r="18" spans="1:22" x14ac:dyDescent="0.25">
      <c r="A18" s="1" t="s">
        <v>18</v>
      </c>
      <c r="B18" s="1"/>
      <c r="C18" s="1">
        <v>0.38</v>
      </c>
      <c r="D18" s="1">
        <v>0.64</v>
      </c>
      <c r="E18" s="1">
        <v>7.0000000000000007E-2</v>
      </c>
      <c r="F18" s="1">
        <v>0.52</v>
      </c>
      <c r="G18" s="1">
        <v>0</v>
      </c>
      <c r="H18" s="1">
        <v>0.41</v>
      </c>
      <c r="I18" s="1">
        <v>0.32</v>
      </c>
      <c r="J18" s="1">
        <v>1.5</v>
      </c>
      <c r="K18" s="1">
        <v>0.1</v>
      </c>
      <c r="L18" s="1">
        <v>0.08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>
        <v>21.72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2">
        <f>ROUND((C18+C20)/2*$B19,2)</f>
        <v>12.38</v>
      </c>
      <c r="N19" s="2">
        <f>ROUND((D18+D20)/2*$B19,2)</f>
        <v>13.25</v>
      </c>
      <c r="O19" s="2">
        <f>ROUND((E18+E20)/2*$B19,2)</f>
        <v>1.19</v>
      </c>
      <c r="P19" s="2">
        <f>ROUND((F18+F20)/2*$B19,2)</f>
        <v>9.01</v>
      </c>
      <c r="Q19" s="2">
        <f>ROUND((G18+G20)/2*$B19,2)</f>
        <v>1.52</v>
      </c>
      <c r="R19" s="2">
        <f>ROUND((H18+H20)/2*$B19,2)</f>
        <v>14.44</v>
      </c>
      <c r="S19" s="2">
        <f>ROUND((I18+I20)/2*$B19,2)</f>
        <v>6.95</v>
      </c>
      <c r="T19" s="2">
        <f>ROUND((J18+J20)/2*$B19,2)</f>
        <v>32.58</v>
      </c>
      <c r="U19" s="2">
        <f>ROUND((K18+K20)/2*$B19,2)</f>
        <v>2.17</v>
      </c>
      <c r="V19" s="2">
        <f>ROUND((L18+L20)/2*$B19,2)</f>
        <v>1.74</v>
      </c>
    </row>
    <row r="20" spans="1:22" x14ac:dyDescent="0.25">
      <c r="A20" s="1">
        <v>6</v>
      </c>
      <c r="B20" s="1"/>
      <c r="C20" s="1">
        <v>0.76</v>
      </c>
      <c r="D20" s="1">
        <v>0.57999999999999996</v>
      </c>
      <c r="E20" s="1">
        <v>0.04</v>
      </c>
      <c r="F20" s="1">
        <v>0.31</v>
      </c>
      <c r="G20" s="1">
        <v>0.14000000000000001</v>
      </c>
      <c r="H20" s="1">
        <v>0.92</v>
      </c>
      <c r="I20" s="1">
        <v>0.32</v>
      </c>
      <c r="J20" s="1">
        <v>1.5</v>
      </c>
      <c r="K20" s="1">
        <v>0.1</v>
      </c>
      <c r="L20" s="1">
        <v>0.08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2">
        <f>ROUND((C20+C22)/2*$B21,2)</f>
        <v>20.5</v>
      </c>
      <c r="N21" s="2">
        <f>ROUND((D20+D22)/2*$B21,2)</f>
        <v>5.8</v>
      </c>
      <c r="O21" s="2">
        <f>ROUND((E20+E22)/2*$B21,2)</f>
        <v>0.4</v>
      </c>
      <c r="P21" s="2">
        <f>ROUND((F20+F22)/2*$B21,2)</f>
        <v>3.1</v>
      </c>
      <c r="Q21" s="2">
        <f>ROUND((G20+G22)/2*$B21,2)</f>
        <v>5.9</v>
      </c>
      <c r="R21" s="2">
        <f>ROUND((H20+H22)/2*$B21,2)</f>
        <v>26.7</v>
      </c>
      <c r="S21" s="2">
        <f>ROUND((I20+I22)/2*$B21,2)</f>
        <v>6.4</v>
      </c>
      <c r="T21" s="2">
        <f>ROUND((J20+J22)/2*$B21,2)</f>
        <v>30</v>
      </c>
      <c r="U21" s="2">
        <f>ROUND((K20+K22)/2*$B21,2)</f>
        <v>2</v>
      </c>
      <c r="V21" s="2">
        <f>ROUND((L20+L22)/2*$B21,2)</f>
        <v>1.6</v>
      </c>
    </row>
    <row r="22" spans="1:22" x14ac:dyDescent="0.25">
      <c r="A22" s="1">
        <v>7</v>
      </c>
      <c r="B22" s="1"/>
      <c r="C22" s="1">
        <v>1.29</v>
      </c>
      <c r="D22" s="1">
        <v>0</v>
      </c>
      <c r="E22" s="1">
        <v>0</v>
      </c>
      <c r="F22" s="1">
        <v>0</v>
      </c>
      <c r="G22" s="1">
        <v>0.45</v>
      </c>
      <c r="H22" s="1">
        <v>1.75</v>
      </c>
      <c r="I22" s="1">
        <v>0.32</v>
      </c>
      <c r="J22" s="1">
        <v>1.5</v>
      </c>
      <c r="K22" s="1">
        <v>0.1</v>
      </c>
      <c r="L22" s="1">
        <v>0.08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>
        <v>7.91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2">
        <f>ROUND((C22+C24)/2*$B23,2)</f>
        <v>7.24</v>
      </c>
      <c r="N23" s="2">
        <f>ROUND((D22+D24)/2*$B23,2)</f>
        <v>1.1100000000000001</v>
      </c>
      <c r="O23" s="2">
        <f>ROUND((E22+E24)/2*$B23,2)</f>
        <v>0.16</v>
      </c>
      <c r="P23" s="2">
        <f>ROUND((F22+F24)/2*$B23,2)</f>
        <v>1.46</v>
      </c>
      <c r="Q23" s="2">
        <f>ROUND((G22+G24)/2*$B23,2)</f>
        <v>2.1</v>
      </c>
      <c r="R23" s="2">
        <f>ROUND((H22+H24)/2*$B23,2)</f>
        <v>8.58</v>
      </c>
      <c r="S23" s="2">
        <f>ROUND((I22+I24)/2*$B23,2)</f>
        <v>2.5299999999999998</v>
      </c>
      <c r="T23" s="2">
        <f>ROUND((J22+J24)/2*$B23,2)</f>
        <v>11.87</v>
      </c>
      <c r="U23" s="2">
        <f>ROUND((K22+K24)/2*$B23,2)</f>
        <v>0.79</v>
      </c>
      <c r="V23" s="2">
        <f>ROUND((L22+L24)/2*$B23,2)</f>
        <v>0.63</v>
      </c>
    </row>
    <row r="24" spans="1:22" x14ac:dyDescent="0.25">
      <c r="A24" s="1" t="s">
        <v>19</v>
      </c>
      <c r="B24" s="1"/>
      <c r="C24" s="1">
        <v>0.54</v>
      </c>
      <c r="D24" s="1">
        <v>0.28000000000000003</v>
      </c>
      <c r="E24" s="1">
        <v>0.04</v>
      </c>
      <c r="F24" s="1">
        <v>0.37</v>
      </c>
      <c r="G24" s="1">
        <v>0.08</v>
      </c>
      <c r="H24" s="1">
        <v>0.42</v>
      </c>
      <c r="I24" s="1">
        <v>0.32</v>
      </c>
      <c r="J24" s="1">
        <v>1.5</v>
      </c>
      <c r="K24" s="1">
        <v>0.1</v>
      </c>
      <c r="L24" s="1">
        <v>0.08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20</v>
      </c>
      <c r="M25" s="9">
        <f>SUM(M4:M24)</f>
        <v>93.63</v>
      </c>
      <c r="N25" s="9">
        <f>SUM(N4:N24)</f>
        <v>262.35000000000002</v>
      </c>
      <c r="O25" s="9">
        <f>SUM(O4:O24)</f>
        <v>6.76</v>
      </c>
      <c r="P25" s="9">
        <f>SUM(P4:P24)</f>
        <v>49.31</v>
      </c>
      <c r="Q25" s="9">
        <f>SUM(Q4:Q24)</f>
        <v>23.119999999999997</v>
      </c>
      <c r="R25" s="9">
        <f>SUM(R4:R24)</f>
        <v>161.69</v>
      </c>
      <c r="S25" s="9">
        <f>SUM(S4:S24)</f>
        <v>42.25</v>
      </c>
      <c r="T25" s="9">
        <f>SUM(T4:T24)</f>
        <v>221.89999999999998</v>
      </c>
      <c r="U25" s="9">
        <f>SUM(U4:U24)</f>
        <v>14.8</v>
      </c>
      <c r="V25" s="9">
        <f>SUM(V4:V24)</f>
        <v>11.83</v>
      </c>
    </row>
  </sheetData>
  <mergeCells count="5">
    <mergeCell ref="A1:V1"/>
    <mergeCell ref="A2:A3"/>
    <mergeCell ref="B2:B3"/>
    <mergeCell ref="C2:L2"/>
    <mergeCell ref="M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57E7-BDA9-4912-8E71-35086B714B2A}">
  <dimension ref="A1:X45"/>
  <sheetViews>
    <sheetView tabSelected="1" workbookViewId="0"/>
  </sheetViews>
  <sheetFormatPr defaultColWidth="12.7109375" defaultRowHeight="15" x14ac:dyDescent="0.25"/>
  <sheetData>
    <row r="1" spans="1:24" x14ac:dyDescent="0.25">
      <c r="A1" s="3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spans="1:24" x14ac:dyDescent="0.25">
      <c r="A2" s="6" t="s">
        <v>1</v>
      </c>
      <c r="B2" s="6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5"/>
      <c r="N2" s="3" t="s">
        <v>4</v>
      </c>
      <c r="O2" s="4"/>
      <c r="P2" s="4"/>
      <c r="Q2" s="4"/>
      <c r="R2" s="4"/>
      <c r="S2" s="4"/>
      <c r="T2" s="4"/>
      <c r="U2" s="4"/>
      <c r="V2" s="4"/>
      <c r="W2" s="4"/>
      <c r="X2" s="5"/>
    </row>
    <row r="3" spans="1:24" ht="30" x14ac:dyDescent="0.25">
      <c r="A3" s="7"/>
      <c r="B3" s="7"/>
      <c r="C3" s="8" t="s">
        <v>5</v>
      </c>
      <c r="D3" s="8" t="s">
        <v>22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5</v>
      </c>
      <c r="O3" s="8" t="s">
        <v>22</v>
      </c>
      <c r="P3" s="8" t="s">
        <v>6</v>
      </c>
      <c r="Q3" s="8" t="s">
        <v>7</v>
      </c>
      <c r="R3" s="8" t="s">
        <v>8</v>
      </c>
      <c r="S3" s="8" t="s">
        <v>9</v>
      </c>
      <c r="T3" s="8" t="s">
        <v>10</v>
      </c>
      <c r="U3" s="8" t="s">
        <v>11</v>
      </c>
      <c r="V3" s="8" t="s">
        <v>12</v>
      </c>
      <c r="W3" s="8" t="s">
        <v>13</v>
      </c>
      <c r="X3" s="8" t="s">
        <v>14</v>
      </c>
    </row>
    <row r="4" spans="1:24" x14ac:dyDescent="0.25">
      <c r="A4" s="1" t="s">
        <v>23</v>
      </c>
      <c r="B4" s="1"/>
      <c r="C4" s="1">
        <v>0.49</v>
      </c>
      <c r="D4" s="1">
        <v>0</v>
      </c>
      <c r="E4" s="1">
        <v>0.3</v>
      </c>
      <c r="F4" s="1">
        <v>7.0000000000000007E-2</v>
      </c>
      <c r="G4" s="1">
        <v>0.52</v>
      </c>
      <c r="H4" s="1">
        <v>0</v>
      </c>
      <c r="I4" s="1">
        <v>0.2</v>
      </c>
      <c r="J4" s="1">
        <v>0.32</v>
      </c>
      <c r="K4" s="1">
        <v>1.5</v>
      </c>
      <c r="L4" s="1">
        <v>0.1</v>
      </c>
      <c r="M4" s="1">
        <v>0.08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>
        <v>2.67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>
        <f>ROUND((C4+C6)/2*$B5,2)</f>
        <v>2.02</v>
      </c>
      <c r="O5" s="2">
        <f>ROUND((D4+D6)/2*$B5,2)</f>
        <v>0.01</v>
      </c>
      <c r="P5" s="2">
        <f>ROUND((E4+E6)/2*$B5,2)</f>
        <v>0.4</v>
      </c>
      <c r="Q5" s="2">
        <f>ROUND((F4+F6)/2*$B5,2)</f>
        <v>0.15</v>
      </c>
      <c r="R5" s="2">
        <f>ROUND((G4+G6)/2*$B5,2)</f>
        <v>1.1100000000000001</v>
      </c>
      <c r="S5" s="2">
        <f>ROUND((H4+H6)/2*$B5,2)</f>
        <v>0.19</v>
      </c>
      <c r="T5" s="2">
        <f>ROUND((I4+I6)/2*$B5,2)</f>
        <v>1.87</v>
      </c>
      <c r="U5" s="2">
        <f>ROUND((J4+J6)/2*$B5,2)</f>
        <v>0.84</v>
      </c>
      <c r="V5" s="2">
        <f>ROUND((K4+K6)/2*$B5,2)</f>
        <v>4.01</v>
      </c>
      <c r="W5" s="2">
        <f>ROUND((L4+L6)/2*$B5,2)</f>
        <v>0.27</v>
      </c>
      <c r="X5" s="2">
        <f>ROUND((M4+M6)/2*$B5,2)</f>
        <v>0.21</v>
      </c>
    </row>
    <row r="6" spans="1:24" x14ac:dyDescent="0.25">
      <c r="A6" s="1" t="s">
        <v>16</v>
      </c>
      <c r="B6" s="1"/>
      <c r="C6" s="1">
        <v>1.02</v>
      </c>
      <c r="D6" s="1">
        <v>0.01</v>
      </c>
      <c r="E6" s="1">
        <v>0</v>
      </c>
      <c r="F6" s="1">
        <v>0.04</v>
      </c>
      <c r="G6" s="1">
        <v>0.31</v>
      </c>
      <c r="H6" s="1">
        <v>0.14000000000000001</v>
      </c>
      <c r="I6" s="1">
        <v>1.2</v>
      </c>
      <c r="J6" s="1">
        <v>0.31</v>
      </c>
      <c r="K6" s="1">
        <v>1.5</v>
      </c>
      <c r="L6" s="1">
        <v>0.1</v>
      </c>
      <c r="M6" s="1">
        <v>0.08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>
        <v>10.18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>
        <f>ROUND((C6+C8)/2*$B7,2)</f>
        <v>5.19</v>
      </c>
      <c r="O7" s="2">
        <f>ROUND((D6+D8)/2*$B7,2)</f>
        <v>0.05</v>
      </c>
      <c r="P7" s="2">
        <f>ROUND((E6+E8)/2*$B7,2)</f>
        <v>18.02</v>
      </c>
      <c r="Q7" s="2">
        <f>ROUND((F6+F8)/2*$B7,2)</f>
        <v>0.61</v>
      </c>
      <c r="R7" s="2">
        <f>ROUND((G6+G8)/2*$B7,2)</f>
        <v>4.38</v>
      </c>
      <c r="S7" s="2">
        <f>ROUND((H6+H8)/2*$B7,2)</f>
        <v>0.71</v>
      </c>
      <c r="T7" s="2">
        <f>ROUND((I6+I8)/2*$B7,2)</f>
        <v>6.11</v>
      </c>
      <c r="U7" s="2">
        <f>ROUND((J6+J8)/2*$B7,2)</f>
        <v>3.21</v>
      </c>
      <c r="V7" s="2">
        <f>ROUND((K6+K8)/2*$B7,2)</f>
        <v>15.27</v>
      </c>
      <c r="W7" s="2">
        <f>ROUND((L6+L8)/2*$B7,2)</f>
        <v>1.02</v>
      </c>
      <c r="X7" s="2">
        <f>ROUND((M6+M8)/2*$B7,2)</f>
        <v>0.81</v>
      </c>
    </row>
    <row r="8" spans="1:24" x14ac:dyDescent="0.25">
      <c r="A8" s="1" t="s">
        <v>17</v>
      </c>
      <c r="B8" s="1"/>
      <c r="C8" s="1">
        <v>0</v>
      </c>
      <c r="D8" s="1">
        <v>0</v>
      </c>
      <c r="E8" s="1">
        <v>3.54</v>
      </c>
      <c r="F8" s="1">
        <v>0.08</v>
      </c>
      <c r="G8" s="1">
        <v>0.55000000000000004</v>
      </c>
      <c r="H8" s="1">
        <v>0</v>
      </c>
      <c r="I8" s="1">
        <v>0</v>
      </c>
      <c r="J8" s="1">
        <v>0.32</v>
      </c>
      <c r="K8" s="1">
        <v>1.5</v>
      </c>
      <c r="L8" s="1">
        <v>0.1</v>
      </c>
      <c r="M8" s="1">
        <v>0.08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>
        <v>8.15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>
        <f>ROUND((C8+C10)/2*$B9,2)</f>
        <v>0</v>
      </c>
      <c r="O9" s="2">
        <f>ROUND((D8+D10)/2*$B9,2)</f>
        <v>0</v>
      </c>
      <c r="P9" s="2">
        <f>ROUND((E8+E10)/2*$B9,2)</f>
        <v>30.2</v>
      </c>
      <c r="Q9" s="2">
        <f>ROUND((F8+F10)/2*$B9,2)</f>
        <v>0.65</v>
      </c>
      <c r="R9" s="2">
        <f>ROUND((G8+G10)/2*$B9,2)</f>
        <v>4.4800000000000004</v>
      </c>
      <c r="S9" s="2">
        <f>ROUND((H8+H10)/2*$B9,2)</f>
        <v>0</v>
      </c>
      <c r="T9" s="2">
        <f>ROUND((I8+I10)/2*$B9,2)</f>
        <v>0</v>
      </c>
      <c r="U9" s="2">
        <f>ROUND((J8+J10)/2*$B9,2)</f>
        <v>2.61</v>
      </c>
      <c r="V9" s="2">
        <f>ROUND((K8+K10)/2*$B9,2)</f>
        <v>12.23</v>
      </c>
      <c r="W9" s="2">
        <f>ROUND((L8+L10)/2*$B9,2)</f>
        <v>0.82</v>
      </c>
      <c r="X9" s="2">
        <f>ROUND((M8+M10)/2*$B9,2)</f>
        <v>0.65</v>
      </c>
    </row>
    <row r="10" spans="1:24" x14ac:dyDescent="0.25">
      <c r="A10" s="1" t="s">
        <v>18</v>
      </c>
      <c r="B10" s="1"/>
      <c r="C10" s="1">
        <v>0</v>
      </c>
      <c r="D10" s="1">
        <v>0</v>
      </c>
      <c r="E10" s="1">
        <v>3.87</v>
      </c>
      <c r="F10" s="1">
        <v>0.08</v>
      </c>
      <c r="G10" s="1">
        <v>0.55000000000000004</v>
      </c>
      <c r="H10" s="1">
        <v>0</v>
      </c>
      <c r="I10" s="1">
        <v>0</v>
      </c>
      <c r="J10" s="1">
        <v>0.32</v>
      </c>
      <c r="K10" s="1">
        <v>1.5</v>
      </c>
      <c r="L10" s="1">
        <v>0.1</v>
      </c>
      <c r="M10" s="1">
        <v>0.08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>
        <v>5.22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>
        <f>ROUND((C10+C12)/2*$B11,2)</f>
        <v>0.86</v>
      </c>
      <c r="O11" s="2">
        <f>ROUND((D10+D12)/2*$B11,2)</f>
        <v>0</v>
      </c>
      <c r="P11" s="2">
        <f>ROUND((E10+E12)/2*$B11,2)</f>
        <v>11.77</v>
      </c>
      <c r="Q11" s="2">
        <f>ROUND((F10+F12)/2*$B11,2)</f>
        <v>0.42</v>
      </c>
      <c r="R11" s="2">
        <f>ROUND((G10+G12)/2*$B11,2)</f>
        <v>2.87</v>
      </c>
      <c r="S11" s="2">
        <f>ROUND((H10+H12)/2*$B11,2)</f>
        <v>0</v>
      </c>
      <c r="T11" s="2">
        <f>ROUND((I10+I12)/2*$B11,2)</f>
        <v>0.37</v>
      </c>
      <c r="U11" s="2">
        <f>ROUND((J10+J12)/2*$B11,2)</f>
        <v>1.64</v>
      </c>
      <c r="V11" s="2">
        <f>ROUND((K10+K12)/2*$B11,2)</f>
        <v>7.83</v>
      </c>
      <c r="W11" s="2">
        <f>ROUND((L10+L12)/2*$B11,2)</f>
        <v>0.52</v>
      </c>
      <c r="X11" s="2">
        <f>ROUND((M10+M12)/2*$B11,2)</f>
        <v>0.42</v>
      </c>
    </row>
    <row r="12" spans="1:24" x14ac:dyDescent="0.25">
      <c r="A12" s="1" t="s">
        <v>24</v>
      </c>
      <c r="B12" s="1"/>
      <c r="C12" s="1">
        <v>0.33</v>
      </c>
      <c r="D12" s="1">
        <v>0</v>
      </c>
      <c r="E12" s="1">
        <v>0.64</v>
      </c>
      <c r="F12" s="1">
        <v>0.08</v>
      </c>
      <c r="G12" s="1">
        <v>0.55000000000000004</v>
      </c>
      <c r="H12" s="1">
        <v>0</v>
      </c>
      <c r="I12" s="1">
        <v>0.14000000000000001</v>
      </c>
      <c r="J12" s="1">
        <v>0.31</v>
      </c>
      <c r="K12" s="1">
        <v>1.5</v>
      </c>
      <c r="L12" s="1">
        <v>0.1</v>
      </c>
      <c r="M12" s="1">
        <v>0.08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>
        <v>3.36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>
        <f>ROUND((C12+C14)/2*$B13,2)</f>
        <v>2.52</v>
      </c>
      <c r="O13" s="2">
        <f>ROUND((D12+D14)/2*$B13,2)</f>
        <v>0</v>
      </c>
      <c r="P13" s="2">
        <f>ROUND((E12+E14)/2*$B13,2)</f>
        <v>1.08</v>
      </c>
      <c r="Q13" s="2">
        <f>ROUND((F12+F14)/2*$B13,2)</f>
        <v>0.15</v>
      </c>
      <c r="R13" s="2">
        <f>ROUND((G12+G14)/2*$B13,2)</f>
        <v>1.1299999999999999</v>
      </c>
      <c r="S13" s="2">
        <f>ROUND((H12+H14)/2*$B13,2)</f>
        <v>0.55000000000000004</v>
      </c>
      <c r="T13" s="2">
        <f>ROUND((I12+I14)/2*$B13,2)</f>
        <v>2.2000000000000002</v>
      </c>
      <c r="U13" s="2">
        <f>ROUND((J12+J14)/2*$B13,2)</f>
        <v>1.02</v>
      </c>
      <c r="V13" s="2">
        <f>ROUND((K12+K14)/2*$B13,2)</f>
        <v>5.04</v>
      </c>
      <c r="W13" s="2">
        <f>ROUND((L12+L14)/2*$B13,2)</f>
        <v>0.34</v>
      </c>
      <c r="X13" s="2">
        <f>ROUND((M12+M14)/2*$B13,2)</f>
        <v>0.27</v>
      </c>
    </row>
    <row r="14" spans="1:24" x14ac:dyDescent="0.25">
      <c r="A14" s="1" t="s">
        <v>25</v>
      </c>
      <c r="B14" s="1"/>
      <c r="C14" s="1">
        <v>1.17</v>
      </c>
      <c r="D14" s="1">
        <v>0</v>
      </c>
      <c r="E14" s="1">
        <v>0</v>
      </c>
      <c r="F14" s="1">
        <v>0.01</v>
      </c>
      <c r="G14" s="1">
        <v>0.12</v>
      </c>
      <c r="H14" s="1">
        <v>0.33</v>
      </c>
      <c r="I14" s="1">
        <v>1.17</v>
      </c>
      <c r="J14" s="1">
        <v>0.3</v>
      </c>
      <c r="K14" s="1">
        <v>1.5</v>
      </c>
      <c r="L14" s="1">
        <v>0.1</v>
      </c>
      <c r="M14" s="1">
        <v>0.08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>
        <v>11.32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>
        <f>ROUND((C14+C16)/2*$B15,2)</f>
        <v>13.87</v>
      </c>
      <c r="O15" s="2">
        <f>ROUND((D14+D16)/2*$B15,2)</f>
        <v>4.7</v>
      </c>
      <c r="P15" s="2">
        <f>ROUND((E14+E16)/2*$B15,2)</f>
        <v>0.06</v>
      </c>
      <c r="Q15" s="2">
        <f>ROUND((F14+F16)/2*$B15,2)</f>
        <v>0.28000000000000003</v>
      </c>
      <c r="R15" s="2">
        <f>ROUND((G14+G16)/2*$B15,2)</f>
        <v>2.4900000000000002</v>
      </c>
      <c r="S15" s="2">
        <f>ROUND((H14+H16)/2*$B15,2)</f>
        <v>2.6</v>
      </c>
      <c r="T15" s="2">
        <f>ROUND((I14+I16)/2*$B15,2)</f>
        <v>22.13</v>
      </c>
      <c r="U15" s="2">
        <f>ROUND((J14+J16)/2*$B15,2)</f>
        <v>3.51</v>
      </c>
      <c r="V15" s="2">
        <f>ROUND((K14+K16)/2*$B15,2)</f>
        <v>16.98</v>
      </c>
      <c r="W15" s="2">
        <f>ROUND((L14+L16)/2*$B15,2)</f>
        <v>1.1299999999999999</v>
      </c>
      <c r="X15" s="2">
        <f>ROUND((M14+M16)/2*$B15,2)</f>
        <v>0.91</v>
      </c>
    </row>
    <row r="16" spans="1:24" x14ac:dyDescent="0.25">
      <c r="A16" s="1" t="s">
        <v>26</v>
      </c>
      <c r="B16" s="1"/>
      <c r="C16" s="1">
        <v>1.28</v>
      </c>
      <c r="D16" s="1">
        <v>0.83</v>
      </c>
      <c r="E16" s="1">
        <v>0.01</v>
      </c>
      <c r="F16" s="1">
        <v>0.04</v>
      </c>
      <c r="G16" s="1">
        <v>0.32</v>
      </c>
      <c r="H16" s="1">
        <v>0.13</v>
      </c>
      <c r="I16" s="1">
        <v>2.74</v>
      </c>
      <c r="J16" s="1">
        <v>0.32</v>
      </c>
      <c r="K16" s="1">
        <v>1.5</v>
      </c>
      <c r="L16" s="1">
        <v>0.1</v>
      </c>
      <c r="M16" s="1">
        <v>0.08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>
        <v>15.09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>
        <f>ROUND((C16+C18)/2*$B17,2)</f>
        <v>20.75</v>
      </c>
      <c r="O17" s="2">
        <f>ROUND((D16+D18)/2*$B17,2)</f>
        <v>6.26</v>
      </c>
      <c r="P17" s="2">
        <f>ROUND((E16+E18)/2*$B17,2)</f>
        <v>0.08</v>
      </c>
      <c r="Q17" s="2">
        <f>ROUND((F16+F18)/2*$B17,2)</f>
        <v>0.3</v>
      </c>
      <c r="R17" s="2">
        <f>ROUND((G16+G18)/2*$B17,2)</f>
        <v>2.41</v>
      </c>
      <c r="S17" s="2">
        <f>ROUND((H16+H18)/2*$B17,2)</f>
        <v>4.38</v>
      </c>
      <c r="T17" s="2">
        <f>ROUND((I16+I18)/2*$B17,2)</f>
        <v>42.33</v>
      </c>
      <c r="U17" s="2">
        <f>ROUND((J16+J18)/2*$B17,2)</f>
        <v>4.5999999999999996</v>
      </c>
      <c r="V17" s="2">
        <f>ROUND((K16+K18)/2*$B17,2)</f>
        <v>22.64</v>
      </c>
      <c r="W17" s="2">
        <f>ROUND((L16+L18)/2*$B17,2)</f>
        <v>1.51</v>
      </c>
      <c r="X17" s="2">
        <f>ROUND((M16+M18)/2*$B17,2)</f>
        <v>1.21</v>
      </c>
    </row>
    <row r="18" spans="1:24" x14ac:dyDescent="0.25">
      <c r="A18" s="1" t="s">
        <v>27</v>
      </c>
      <c r="B18" s="1"/>
      <c r="C18" s="1">
        <v>1.47</v>
      </c>
      <c r="D18" s="1">
        <v>0</v>
      </c>
      <c r="E18" s="1">
        <v>0</v>
      </c>
      <c r="F18" s="1">
        <v>0</v>
      </c>
      <c r="G18" s="1">
        <v>0</v>
      </c>
      <c r="H18" s="1">
        <v>0.45</v>
      </c>
      <c r="I18" s="1">
        <v>2.87</v>
      </c>
      <c r="J18" s="1">
        <v>0.28999999999999998</v>
      </c>
      <c r="K18" s="1">
        <v>1.5</v>
      </c>
      <c r="L18" s="1">
        <v>0.1</v>
      </c>
      <c r="M18" s="1">
        <v>0.08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>
        <v>14.85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>
        <f>ROUND((C18+C20)/2*$B19,2)</f>
        <v>21.83</v>
      </c>
      <c r="O19" s="2">
        <f>ROUND((D18+D20)/2*$B19,2)</f>
        <v>0</v>
      </c>
      <c r="P19" s="2">
        <f>ROUND((E18+E20)/2*$B19,2)</f>
        <v>0</v>
      </c>
      <c r="Q19" s="2">
        <f>ROUND((F18+F20)/2*$B19,2)</f>
        <v>0</v>
      </c>
      <c r="R19" s="2">
        <f>ROUND((G18+G20)/2*$B19,2)</f>
        <v>0</v>
      </c>
      <c r="S19" s="2">
        <f>ROUND((H18+H20)/2*$B19,2)</f>
        <v>6.68</v>
      </c>
      <c r="T19" s="2">
        <f>ROUND((I18+I20)/2*$B19,2)</f>
        <v>44.18</v>
      </c>
      <c r="U19" s="2">
        <f>ROUND((J18+J20)/2*$B19,2)</f>
        <v>2.15</v>
      </c>
      <c r="V19" s="2">
        <f>ROUND((K18+K20)/2*$B19,2)</f>
        <v>22.28</v>
      </c>
      <c r="W19" s="2">
        <f>ROUND((L18+L20)/2*$B19,2)</f>
        <v>1.49</v>
      </c>
      <c r="X19" s="2">
        <f>ROUND((M18+M20)/2*$B19,2)</f>
        <v>1.19</v>
      </c>
    </row>
    <row r="20" spans="1:24" x14ac:dyDescent="0.25">
      <c r="A20" s="1" t="s">
        <v>28</v>
      </c>
      <c r="B20" s="1"/>
      <c r="C20" s="1">
        <v>1.47</v>
      </c>
      <c r="D20" s="1">
        <v>0</v>
      </c>
      <c r="E20" s="1">
        <v>0</v>
      </c>
      <c r="F20" s="1">
        <v>0</v>
      </c>
      <c r="G20" s="1">
        <v>0</v>
      </c>
      <c r="H20" s="1">
        <v>0.45</v>
      </c>
      <c r="I20" s="1">
        <v>3.08</v>
      </c>
      <c r="J20" s="1">
        <v>0</v>
      </c>
      <c r="K20" s="1">
        <v>1.5</v>
      </c>
      <c r="L20" s="1">
        <v>0.1</v>
      </c>
      <c r="M20" s="1">
        <v>0.08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>
        <v>5.58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>
        <f>ROUND((C20+C22)/2*$B21,2)</f>
        <v>7.48</v>
      </c>
      <c r="O21" s="2">
        <f>ROUND((D20+D22)/2*$B21,2)</f>
        <v>0</v>
      </c>
      <c r="P21" s="2">
        <f>ROUND((E20+E22)/2*$B21,2)</f>
        <v>0</v>
      </c>
      <c r="Q21" s="2">
        <f>ROUND((F20+F22)/2*$B21,2)</f>
        <v>0</v>
      </c>
      <c r="R21" s="2">
        <f>ROUND((G20+G22)/2*$B21,2)</f>
        <v>0</v>
      </c>
      <c r="S21" s="2">
        <f>ROUND((H20+H22)/2*$B21,2)</f>
        <v>2.5099999999999998</v>
      </c>
      <c r="T21" s="2">
        <f>ROUND((I20+I22)/2*$B21,2)</f>
        <v>13.11</v>
      </c>
      <c r="U21" s="2">
        <f>ROUND((J20+J22)/2*$B21,2)</f>
        <v>0.89</v>
      </c>
      <c r="V21" s="2">
        <f>ROUND((K20+K22)/2*$B21,2)</f>
        <v>8.3699999999999992</v>
      </c>
      <c r="W21" s="2">
        <f>ROUND((L20+L22)/2*$B21,2)</f>
        <v>0.56000000000000005</v>
      </c>
      <c r="X21" s="2">
        <f>ROUND((M20+M22)/2*$B21,2)</f>
        <v>0.45</v>
      </c>
    </row>
    <row r="22" spans="1:24" x14ac:dyDescent="0.25">
      <c r="A22" s="1" t="s">
        <v>29</v>
      </c>
      <c r="B22" s="1"/>
      <c r="C22" s="1">
        <v>1.21</v>
      </c>
      <c r="D22" s="1">
        <v>0</v>
      </c>
      <c r="E22" s="1">
        <v>0</v>
      </c>
      <c r="F22" s="1">
        <v>0</v>
      </c>
      <c r="G22" s="1">
        <v>0</v>
      </c>
      <c r="H22" s="1">
        <v>0.45</v>
      </c>
      <c r="I22" s="1">
        <v>1.62</v>
      </c>
      <c r="J22" s="1">
        <v>0.32</v>
      </c>
      <c r="K22" s="1">
        <v>1.5</v>
      </c>
      <c r="L22" s="1">
        <v>0.1</v>
      </c>
      <c r="M22" s="1">
        <v>0.08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>
        <v>5.58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>
        <f>ROUND((C22+C24)/2*$B23,2)</f>
        <v>4.46</v>
      </c>
      <c r="O23" s="2">
        <f>ROUND((D22+D24)/2*$B23,2)</f>
        <v>0</v>
      </c>
      <c r="P23" s="2">
        <f>ROUND((E22+E24)/2*$B23,2)</f>
        <v>0.03</v>
      </c>
      <c r="Q23" s="2">
        <f>ROUND((F22+F24)/2*$B23,2)</f>
        <v>0.08</v>
      </c>
      <c r="R23" s="2">
        <f>ROUND((G22+G24)/2*$B23,2)</f>
        <v>1.1200000000000001</v>
      </c>
      <c r="S23" s="2">
        <f>ROUND((H22+H24)/2*$B23,2)</f>
        <v>1.4</v>
      </c>
      <c r="T23" s="2">
        <f>ROUND((I22+I24)/2*$B23,2)</f>
        <v>5.89</v>
      </c>
      <c r="U23" s="2">
        <f>ROUND((J22+J24)/2*$B23,2)</f>
        <v>1.79</v>
      </c>
      <c r="V23" s="2">
        <f>ROUND((K22+K24)/2*$B23,2)</f>
        <v>8.3699999999999992</v>
      </c>
      <c r="W23" s="2">
        <f>ROUND((L22+L24)/2*$B23,2)</f>
        <v>0.56000000000000005</v>
      </c>
      <c r="X23" s="2">
        <f>ROUND((M22+M24)/2*$B23,2)</f>
        <v>0.45</v>
      </c>
    </row>
    <row r="24" spans="1:24" x14ac:dyDescent="0.25">
      <c r="A24" s="1" t="s">
        <v>30</v>
      </c>
      <c r="B24" s="1"/>
      <c r="C24" s="1">
        <v>0.39</v>
      </c>
      <c r="D24" s="1">
        <v>0</v>
      </c>
      <c r="E24" s="1">
        <v>0.01</v>
      </c>
      <c r="F24" s="1">
        <v>0.03</v>
      </c>
      <c r="G24" s="1">
        <v>0.4</v>
      </c>
      <c r="H24" s="1">
        <v>0.05</v>
      </c>
      <c r="I24" s="1">
        <v>0.49</v>
      </c>
      <c r="J24" s="1">
        <v>0.32</v>
      </c>
      <c r="K24" s="1">
        <v>1.5</v>
      </c>
      <c r="L24" s="1">
        <v>0.1</v>
      </c>
      <c r="M24" s="1">
        <v>0.08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>
        <v>9.77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>
        <f>ROUND((C24+C26)/2*$B25,2)</f>
        <v>5.08</v>
      </c>
      <c r="O25" s="2">
        <f>ROUND((D24+D26)/2*$B25,2)</f>
        <v>0</v>
      </c>
      <c r="P25" s="2">
        <f>ROUND((E24+E26)/2*$B25,2)</f>
        <v>0.24</v>
      </c>
      <c r="Q25" s="2">
        <f>ROUND((F24+F26)/2*$B25,2)</f>
        <v>0.54</v>
      </c>
      <c r="R25" s="2">
        <f>ROUND((G24+G26)/2*$B25,2)</f>
        <v>4.6399999999999997</v>
      </c>
      <c r="S25" s="2">
        <f>ROUND((H24+H26)/2*$B25,2)</f>
        <v>0.24</v>
      </c>
      <c r="T25" s="2">
        <f>ROUND((I24+I26)/2*$B25,2)</f>
        <v>4.93</v>
      </c>
      <c r="U25" s="2">
        <f>ROUND((J24+J26)/2*$B25,2)</f>
        <v>3.08</v>
      </c>
      <c r="V25" s="2">
        <f>ROUND((K24+K26)/2*$B25,2)</f>
        <v>14.66</v>
      </c>
      <c r="W25" s="2">
        <f>ROUND((L24+L26)/2*$B25,2)</f>
        <v>0.98</v>
      </c>
      <c r="X25" s="2">
        <f>ROUND((M24+M26)/2*$B25,2)</f>
        <v>0.78</v>
      </c>
    </row>
    <row r="26" spans="1:24" x14ac:dyDescent="0.25">
      <c r="A26" s="1" t="s">
        <v>31</v>
      </c>
      <c r="B26" s="1"/>
      <c r="C26" s="1">
        <v>0.65</v>
      </c>
      <c r="D26" s="1">
        <v>0</v>
      </c>
      <c r="E26" s="1">
        <v>0.04</v>
      </c>
      <c r="F26" s="1">
        <v>0.08</v>
      </c>
      <c r="G26" s="1">
        <v>0.55000000000000004</v>
      </c>
      <c r="H26" s="1">
        <v>0</v>
      </c>
      <c r="I26" s="1">
        <v>0.52</v>
      </c>
      <c r="J26" s="1">
        <v>0.31</v>
      </c>
      <c r="K26" s="1">
        <v>1.5</v>
      </c>
      <c r="L26" s="1">
        <v>0.1</v>
      </c>
      <c r="M26" s="1">
        <v>0.08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>
        <v>3.64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>
        <f>ROUND((C26+C28)/2*$B27,2)</f>
        <v>1.55</v>
      </c>
      <c r="O27" s="2">
        <f>ROUND((D26+D28)/2*$B27,2)</f>
        <v>0</v>
      </c>
      <c r="P27" s="2">
        <f>ROUND((E26+E28)/2*$B27,2)</f>
        <v>1.55</v>
      </c>
      <c r="Q27" s="2">
        <f>ROUND((F26+F28)/2*$B27,2)</f>
        <v>0.28999999999999998</v>
      </c>
      <c r="R27" s="2">
        <f>ROUND((G26+G28)/2*$B27,2)</f>
        <v>2</v>
      </c>
      <c r="S27" s="2">
        <f>ROUND((H26+H28)/2*$B27,2)</f>
        <v>0</v>
      </c>
      <c r="T27" s="2">
        <f>ROUND((I26+I28)/2*$B27,2)</f>
        <v>0.96</v>
      </c>
      <c r="U27" s="2">
        <f>ROUND((J26+J28)/2*$B27,2)</f>
        <v>1.1499999999999999</v>
      </c>
      <c r="V27" s="2">
        <f>ROUND((K26+K28)/2*$B27,2)</f>
        <v>5.46</v>
      </c>
      <c r="W27" s="2">
        <f>ROUND((L26+L28)/2*$B27,2)</f>
        <v>0.36</v>
      </c>
      <c r="X27" s="2">
        <f>ROUND((M26+M28)/2*$B27,2)</f>
        <v>0.28999999999999998</v>
      </c>
    </row>
    <row r="28" spans="1:24" x14ac:dyDescent="0.25">
      <c r="A28" s="1" t="s">
        <v>32</v>
      </c>
      <c r="B28" s="1"/>
      <c r="C28" s="1">
        <v>0.2</v>
      </c>
      <c r="D28" s="1">
        <v>0</v>
      </c>
      <c r="E28" s="1">
        <v>0.81</v>
      </c>
      <c r="F28" s="1">
        <v>0.08</v>
      </c>
      <c r="G28" s="1">
        <v>0.55000000000000004</v>
      </c>
      <c r="H28" s="1">
        <v>0</v>
      </c>
      <c r="I28" s="1">
        <v>0.01</v>
      </c>
      <c r="J28" s="1">
        <v>0.32</v>
      </c>
      <c r="K28" s="1">
        <v>1.5</v>
      </c>
      <c r="L28" s="1">
        <v>0.1</v>
      </c>
      <c r="M28" s="1">
        <v>0.08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>
        <v>4.1399999999999997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>
        <f>ROUND((C28+C30)/2*$B29,2)</f>
        <v>1.74</v>
      </c>
      <c r="O29" s="2">
        <f>ROUND((D28+D30)/2*$B29,2)</f>
        <v>0</v>
      </c>
      <c r="P29" s="2">
        <f>ROUND((E28+E30)/2*$B29,2)</f>
        <v>1.74</v>
      </c>
      <c r="Q29" s="2">
        <f>ROUND((F28+F30)/2*$B29,2)</f>
        <v>0.33</v>
      </c>
      <c r="R29" s="2">
        <f>ROUND((G28+G30)/2*$B29,2)</f>
        <v>2.2400000000000002</v>
      </c>
      <c r="S29" s="2">
        <f>ROUND((H28+H30)/2*$B29,2)</f>
        <v>0</v>
      </c>
      <c r="T29" s="2">
        <f>ROUND((I28+I30)/2*$B29,2)</f>
        <v>1.04</v>
      </c>
      <c r="U29" s="2">
        <f>ROUND((J28+J30)/2*$B29,2)</f>
        <v>1.32</v>
      </c>
      <c r="V29" s="2">
        <f>ROUND((K28+K30)/2*$B29,2)</f>
        <v>6.21</v>
      </c>
      <c r="W29" s="2">
        <f>ROUND((L28+L30)/2*$B29,2)</f>
        <v>0.41</v>
      </c>
      <c r="X29" s="2">
        <f>ROUND((M28+M30)/2*$B29,2)</f>
        <v>0.33</v>
      </c>
    </row>
    <row r="30" spans="1:24" x14ac:dyDescent="0.25">
      <c r="A30" s="1" t="s">
        <v>33</v>
      </c>
      <c r="B30" s="1"/>
      <c r="C30" s="1">
        <v>0.64</v>
      </c>
      <c r="D30" s="1">
        <v>0</v>
      </c>
      <c r="E30" s="1">
        <v>0.03</v>
      </c>
      <c r="F30" s="1">
        <v>0.08</v>
      </c>
      <c r="G30" s="1">
        <v>0.53</v>
      </c>
      <c r="H30" s="1">
        <v>0</v>
      </c>
      <c r="I30" s="1">
        <v>0.49</v>
      </c>
      <c r="J30" s="1">
        <v>0.32</v>
      </c>
      <c r="K30" s="1">
        <v>1.5</v>
      </c>
      <c r="L30" s="1">
        <v>0.1</v>
      </c>
      <c r="M30" s="1">
        <v>0.08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>
        <v>3.99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>
        <f>ROUND((C30+C32)/2*$B31,2)</f>
        <v>4.03</v>
      </c>
      <c r="O31" s="2">
        <f>ROUND((D30+D32)/2*$B31,2)</f>
        <v>0</v>
      </c>
      <c r="P31" s="2">
        <f>ROUND((E30+E32)/2*$B31,2)</f>
        <v>0.06</v>
      </c>
      <c r="Q31" s="2">
        <f>ROUND((F30+F32)/2*$B31,2)</f>
        <v>0.16</v>
      </c>
      <c r="R31" s="2">
        <f>ROUND((G30+G32)/2*$B31,2)</f>
        <v>1.06</v>
      </c>
      <c r="S31" s="2">
        <f>ROUND((H30+H32)/2*$B31,2)</f>
        <v>0.9</v>
      </c>
      <c r="T31" s="2">
        <f>ROUND((I30+I32)/2*$B31,2)</f>
        <v>4.41</v>
      </c>
      <c r="U31" s="2">
        <f>ROUND((J30+J32)/2*$B31,2)</f>
        <v>1.1399999999999999</v>
      </c>
      <c r="V31" s="2">
        <f>ROUND((K30+K32)/2*$B31,2)</f>
        <v>5.99</v>
      </c>
      <c r="W31" s="2">
        <f>ROUND((L30+L32)/2*$B31,2)</f>
        <v>0.4</v>
      </c>
      <c r="X31" s="2">
        <f>ROUND((M30+M32)/2*$B31,2)</f>
        <v>0.32</v>
      </c>
    </row>
    <row r="32" spans="1:24" x14ac:dyDescent="0.25">
      <c r="A32" s="1" t="s">
        <v>34</v>
      </c>
      <c r="B32" s="1"/>
      <c r="C32" s="1">
        <v>1.38</v>
      </c>
      <c r="D32" s="1">
        <v>0</v>
      </c>
      <c r="E32" s="1">
        <v>0</v>
      </c>
      <c r="F32" s="1">
        <v>0</v>
      </c>
      <c r="G32" s="1">
        <v>0</v>
      </c>
      <c r="H32" s="1">
        <v>0.45</v>
      </c>
      <c r="I32" s="1">
        <v>1.72</v>
      </c>
      <c r="J32" s="1">
        <v>0.25</v>
      </c>
      <c r="K32" s="1">
        <v>1.5</v>
      </c>
      <c r="L32" s="1">
        <v>0.1</v>
      </c>
      <c r="M32" s="1">
        <v>0.08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>
        <v>5.0199999999999996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>
        <f>ROUND((C32+C34)/2*$B33,2)</f>
        <v>5.72</v>
      </c>
      <c r="O33" s="2">
        <f>ROUND((D32+D34)/2*$B33,2)</f>
        <v>0</v>
      </c>
      <c r="P33" s="2">
        <f>ROUND((E32+E34)/2*$B33,2)</f>
        <v>0</v>
      </c>
      <c r="Q33" s="2">
        <f>ROUND((F32+F34)/2*$B33,2)</f>
        <v>0</v>
      </c>
      <c r="R33" s="2">
        <f>ROUND((G32+G34)/2*$B33,2)</f>
        <v>0</v>
      </c>
      <c r="S33" s="2">
        <f>ROUND((H32+H34)/2*$B33,2)</f>
        <v>2.2599999999999998</v>
      </c>
      <c r="T33" s="2">
        <f>ROUND((I32+I34)/2*$B33,2)</f>
        <v>14.03</v>
      </c>
      <c r="U33" s="2">
        <f>ROUND((J32+J34)/2*$B33,2)</f>
        <v>1.43</v>
      </c>
      <c r="V33" s="2">
        <f>ROUND((K32+K34)/2*$B33,2)</f>
        <v>7.53</v>
      </c>
      <c r="W33" s="2">
        <f>ROUND((L32+L34)/2*$B33,2)</f>
        <v>0.5</v>
      </c>
      <c r="X33" s="2">
        <f>ROUND((M32+M34)/2*$B33,2)</f>
        <v>0.4</v>
      </c>
    </row>
    <row r="34" spans="1:24" x14ac:dyDescent="0.25">
      <c r="A34" s="1" t="s">
        <v>35</v>
      </c>
      <c r="B34" s="1"/>
      <c r="C34" s="1">
        <v>0.9</v>
      </c>
      <c r="D34" s="1">
        <v>0</v>
      </c>
      <c r="E34" s="1">
        <v>0</v>
      </c>
      <c r="F34" s="1">
        <v>0</v>
      </c>
      <c r="G34" s="1">
        <v>0</v>
      </c>
      <c r="H34" s="1">
        <v>0.45</v>
      </c>
      <c r="I34" s="1">
        <v>3.87</v>
      </c>
      <c r="J34" s="1">
        <v>0.32</v>
      </c>
      <c r="K34" s="1">
        <v>1.5</v>
      </c>
      <c r="L34" s="1">
        <v>0.1</v>
      </c>
      <c r="M34" s="1">
        <v>0.08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>
        <v>6.63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>
        <f>ROUND((C34+C36)/2*$B35,2)</f>
        <v>7.36</v>
      </c>
      <c r="O35" s="2">
        <f>ROUND((D34+D36)/2*$B35,2)</f>
        <v>0</v>
      </c>
      <c r="P35" s="2">
        <f>ROUND((E34+E36)/2*$B35,2)</f>
        <v>0</v>
      </c>
      <c r="Q35" s="2">
        <f>ROUND((F34+F36)/2*$B35,2)</f>
        <v>0</v>
      </c>
      <c r="R35" s="2">
        <f>ROUND((G34+G36)/2*$B35,2)</f>
        <v>0</v>
      </c>
      <c r="S35" s="2">
        <f>ROUND((H34+H36)/2*$B35,2)</f>
        <v>2.98</v>
      </c>
      <c r="T35" s="2">
        <f>ROUND((I34+I36)/2*$B35,2)</f>
        <v>19.36</v>
      </c>
      <c r="U35" s="2">
        <f>ROUND((J34+J36)/2*$B35,2)</f>
        <v>2.12</v>
      </c>
      <c r="V35" s="2">
        <f>ROUND((K34+K36)/2*$B35,2)</f>
        <v>9.9499999999999993</v>
      </c>
      <c r="W35" s="2">
        <f>ROUND((L34+L36)/2*$B35,2)</f>
        <v>0.66</v>
      </c>
      <c r="X35" s="2">
        <f>ROUND((M34+M36)/2*$B35,2)</f>
        <v>0.53</v>
      </c>
    </row>
    <row r="36" spans="1:24" x14ac:dyDescent="0.25">
      <c r="A36" s="1" t="s">
        <v>36</v>
      </c>
      <c r="B36" s="1"/>
      <c r="C36" s="1">
        <v>1.32</v>
      </c>
      <c r="D36" s="1">
        <v>0</v>
      </c>
      <c r="E36" s="1">
        <v>0</v>
      </c>
      <c r="F36" s="1">
        <v>0</v>
      </c>
      <c r="G36" s="1">
        <v>0</v>
      </c>
      <c r="H36" s="1">
        <v>0.45</v>
      </c>
      <c r="I36" s="1">
        <v>1.97</v>
      </c>
      <c r="J36" s="1">
        <v>0.32</v>
      </c>
      <c r="K36" s="1">
        <v>1.5</v>
      </c>
      <c r="L36" s="1">
        <v>0.1</v>
      </c>
      <c r="M36" s="1">
        <v>0.08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>
        <v>4.79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>
        <f>ROUND((C36+C38)/2*$B37,2)</f>
        <v>6.2</v>
      </c>
      <c r="O37" s="2">
        <f>ROUND((D36+D38)/2*$B37,2)</f>
        <v>0</v>
      </c>
      <c r="P37" s="2">
        <f>ROUND((E36+E38)/2*$B37,2)</f>
        <v>0</v>
      </c>
      <c r="Q37" s="2">
        <f>ROUND((F36+F38)/2*$B37,2)</f>
        <v>0</v>
      </c>
      <c r="R37" s="2">
        <f>ROUND((G36+G38)/2*$B37,2)</f>
        <v>0</v>
      </c>
      <c r="S37" s="2">
        <f>ROUND((H36+H38)/2*$B37,2)</f>
        <v>2.16</v>
      </c>
      <c r="T37" s="2">
        <f>ROUND((I36+I38)/2*$B37,2)</f>
        <v>8.5500000000000007</v>
      </c>
      <c r="U37" s="2">
        <f>ROUND((J36+J38)/2*$B37,2)</f>
        <v>1.44</v>
      </c>
      <c r="V37" s="2">
        <f>ROUND((K36+K38)/2*$B37,2)</f>
        <v>7.19</v>
      </c>
      <c r="W37" s="2">
        <f>ROUND((L36+L38)/2*$B37,2)</f>
        <v>0.48</v>
      </c>
      <c r="X37" s="2">
        <f>ROUND((M36+M38)/2*$B37,2)</f>
        <v>0.38</v>
      </c>
    </row>
    <row r="38" spans="1:24" x14ac:dyDescent="0.25">
      <c r="A38" s="1">
        <v>2</v>
      </c>
      <c r="B38" s="1"/>
      <c r="C38" s="1">
        <v>1.27</v>
      </c>
      <c r="D38" s="1">
        <v>0</v>
      </c>
      <c r="E38" s="1">
        <v>0</v>
      </c>
      <c r="F38" s="1">
        <v>0</v>
      </c>
      <c r="G38" s="1">
        <v>0</v>
      </c>
      <c r="H38" s="1">
        <v>0.45</v>
      </c>
      <c r="I38" s="1">
        <v>1.6</v>
      </c>
      <c r="J38" s="1">
        <v>0.28000000000000003</v>
      </c>
      <c r="K38" s="1">
        <v>1.5</v>
      </c>
      <c r="L38" s="1">
        <v>0.1</v>
      </c>
      <c r="M38" s="1">
        <v>0.08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>
        <v>4.04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>
        <f>ROUND((C38+C40)/2*$B39,2)</f>
        <v>5.19</v>
      </c>
      <c r="O39" s="2">
        <f>ROUND((D38+D40)/2*$B39,2)</f>
        <v>0</v>
      </c>
      <c r="P39" s="2">
        <f>ROUND((E38+E40)/2*$B39,2)</f>
        <v>0</v>
      </c>
      <c r="Q39" s="2">
        <f>ROUND((F38+F40)/2*$B39,2)</f>
        <v>0</v>
      </c>
      <c r="R39" s="2">
        <f>ROUND((G38+G40)/2*$B39,2)</f>
        <v>0</v>
      </c>
      <c r="S39" s="2">
        <f>ROUND((H38+H40)/2*$B39,2)</f>
        <v>1.82</v>
      </c>
      <c r="T39" s="2">
        <f>ROUND((I38+I40)/2*$B39,2)</f>
        <v>6.69</v>
      </c>
      <c r="U39" s="2">
        <f>ROUND((J38+J40)/2*$B39,2)</f>
        <v>1.17</v>
      </c>
      <c r="V39" s="2">
        <f>ROUND((K38+K40)/2*$B39,2)</f>
        <v>6.06</v>
      </c>
      <c r="W39" s="2">
        <f>ROUND((L38+L40)/2*$B39,2)</f>
        <v>0.4</v>
      </c>
      <c r="X39" s="2">
        <f>ROUND((M38+M40)/2*$B39,2)</f>
        <v>0.32</v>
      </c>
    </row>
    <row r="40" spans="1:24" x14ac:dyDescent="0.25">
      <c r="A40" s="1" t="s">
        <v>37</v>
      </c>
      <c r="B40" s="1"/>
      <c r="C40" s="1">
        <v>1.3</v>
      </c>
      <c r="D40" s="1">
        <v>0</v>
      </c>
      <c r="E40" s="1">
        <v>0</v>
      </c>
      <c r="F40" s="1">
        <v>0</v>
      </c>
      <c r="G40" s="1">
        <v>0</v>
      </c>
      <c r="H40" s="1">
        <v>0.45</v>
      </c>
      <c r="I40" s="1">
        <v>1.71</v>
      </c>
      <c r="J40" s="1">
        <v>0.3</v>
      </c>
      <c r="K40" s="1">
        <v>1.5</v>
      </c>
      <c r="L40" s="1">
        <v>0.1</v>
      </c>
      <c r="M40" s="1">
        <v>0.08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>
        <v>15.96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>
        <f>ROUND((C40+C42)/2*$B41,2)</f>
        <v>15.88</v>
      </c>
      <c r="O41" s="2">
        <f>ROUND((D40+D42)/2*$B41,2)</f>
        <v>0</v>
      </c>
      <c r="P41" s="2">
        <f>ROUND((E40+E42)/2*$B41,2)</f>
        <v>0</v>
      </c>
      <c r="Q41" s="2">
        <f>ROUND((F40+F42)/2*$B41,2)</f>
        <v>0.56000000000000005</v>
      </c>
      <c r="R41" s="2">
        <f>ROUND((G40+G42)/2*$B41,2)</f>
        <v>3.83</v>
      </c>
      <c r="S41" s="2">
        <f>ROUND((H40+H42)/2*$B41,2)</f>
        <v>3.59</v>
      </c>
      <c r="T41" s="2">
        <f>ROUND((I40+I42)/2*$B41,2)</f>
        <v>18.989999999999998</v>
      </c>
      <c r="U41" s="2">
        <f>ROUND((J40+J42)/2*$B41,2)</f>
        <v>4.71</v>
      </c>
      <c r="V41" s="2">
        <f>ROUND((K40+K42)/2*$B41,2)</f>
        <v>23.94</v>
      </c>
      <c r="W41" s="2">
        <f>ROUND((L40+L42)/2*$B41,2)</f>
        <v>1.6</v>
      </c>
      <c r="X41" s="2">
        <f>ROUND((M40+M42)/2*$B41,2)</f>
        <v>1.28</v>
      </c>
    </row>
    <row r="42" spans="1:24" x14ac:dyDescent="0.25">
      <c r="A42" s="1">
        <v>3</v>
      </c>
      <c r="B42" s="1"/>
      <c r="C42" s="1">
        <v>0.69</v>
      </c>
      <c r="D42" s="1">
        <v>0</v>
      </c>
      <c r="E42" s="1">
        <v>0</v>
      </c>
      <c r="F42" s="1">
        <v>7.0000000000000007E-2</v>
      </c>
      <c r="G42" s="1">
        <v>0.48</v>
      </c>
      <c r="H42" s="1">
        <v>0</v>
      </c>
      <c r="I42" s="1">
        <v>0.67</v>
      </c>
      <c r="J42" s="1">
        <v>0.28999999999999998</v>
      </c>
      <c r="K42" s="1">
        <v>1.5</v>
      </c>
      <c r="L42" s="1">
        <v>0.1</v>
      </c>
      <c r="M42" s="1">
        <v>0.08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>
        <v>2.91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>
        <f>ROUND((C42+C44)/2*$B43,2)</f>
        <v>1.53</v>
      </c>
      <c r="O43" s="2">
        <f>ROUND((D42+D44)/2*$B43,2)</f>
        <v>0</v>
      </c>
      <c r="P43" s="2">
        <f>ROUND((E42+E44)/2*$B43,2)</f>
        <v>0.03</v>
      </c>
      <c r="Q43" s="2">
        <f>ROUND((F42+F44)/2*$B43,2)</f>
        <v>0.22</v>
      </c>
      <c r="R43" s="2">
        <f>ROUND((G42+G44)/2*$B43,2)</f>
        <v>1.5</v>
      </c>
      <c r="S43" s="2">
        <f>ROUND((H42+H44)/2*$B43,2)</f>
        <v>0</v>
      </c>
      <c r="T43" s="2">
        <f>ROUND((I42+I44)/2*$B43,2)</f>
        <v>1.32</v>
      </c>
      <c r="U43" s="2">
        <f>ROUND((J42+J44)/2*$B43,2)</f>
        <v>0.86</v>
      </c>
      <c r="V43" s="2">
        <f>ROUND((K42+K44)/2*$B43,2)</f>
        <v>4.37</v>
      </c>
      <c r="W43" s="2">
        <f>ROUND((L42+L44)/2*$B43,2)</f>
        <v>0.28999999999999998</v>
      </c>
      <c r="X43" s="2">
        <f>ROUND((M42+M44)/2*$B43,2)</f>
        <v>0.23</v>
      </c>
    </row>
    <row r="44" spans="1:24" x14ac:dyDescent="0.25">
      <c r="A44" s="1" t="s">
        <v>38</v>
      </c>
      <c r="B44" s="1"/>
      <c r="C44" s="1">
        <v>0.36</v>
      </c>
      <c r="D44" s="1">
        <v>0</v>
      </c>
      <c r="E44" s="1">
        <v>0.02</v>
      </c>
      <c r="F44" s="1">
        <v>0.08</v>
      </c>
      <c r="G44" s="1">
        <v>0.55000000000000004</v>
      </c>
      <c r="H44" s="1">
        <v>0</v>
      </c>
      <c r="I44" s="1">
        <v>0.24</v>
      </c>
      <c r="J44" s="1">
        <v>0.3</v>
      </c>
      <c r="K44" s="1">
        <v>1.5</v>
      </c>
      <c r="L44" s="1">
        <v>0.1</v>
      </c>
      <c r="M44" s="1">
        <v>0.08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20</v>
      </c>
      <c r="N45" s="9">
        <f>SUM(N4:N44)</f>
        <v>133.26</v>
      </c>
      <c r="O45" s="9">
        <f>SUM(O4:O44)</f>
        <v>11.02</v>
      </c>
      <c r="P45" s="9">
        <f>SUM(P4:P44)</f>
        <v>65.260000000000005</v>
      </c>
      <c r="Q45" s="9">
        <f>SUM(Q4:Q44)</f>
        <v>4.7399999999999993</v>
      </c>
      <c r="R45" s="9">
        <f>SUM(R4:R44)</f>
        <v>35.260000000000005</v>
      </c>
      <c r="S45" s="9">
        <f>SUM(S4:S44)</f>
        <v>32.97</v>
      </c>
      <c r="T45" s="9">
        <f>SUM(T4:T44)</f>
        <v>218.47000000000003</v>
      </c>
      <c r="U45" s="9">
        <f>SUM(U4:U44)</f>
        <v>40.679999999999993</v>
      </c>
      <c r="V45" s="9">
        <f>SUM(V4:V44)</f>
        <v>214.38000000000002</v>
      </c>
      <c r="W45" s="9">
        <f>SUM(W4:W44)</f>
        <v>14.3</v>
      </c>
      <c r="X45" s="9">
        <f>SUM(X4:X44)</f>
        <v>11.430000000000001</v>
      </c>
    </row>
  </sheetData>
  <mergeCells count="5">
    <mergeCell ref="A1:X1"/>
    <mergeCell ref="A2:A3"/>
    <mergeCell ref="B2:B3"/>
    <mergeCell ref="C2:M2"/>
    <mergeCell ref="N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N12-N12A</vt:lpstr>
      <vt:lpstr>N16-N17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</dc:creator>
  <cp:lastModifiedBy>Nguyễn Thanh</cp:lastModifiedBy>
  <dcterms:created xsi:type="dcterms:W3CDTF">2025-06-22T13:24:31Z</dcterms:created>
  <dcterms:modified xsi:type="dcterms:W3CDTF">2025-06-22T13:24:37Z</dcterms:modified>
</cp:coreProperties>
</file>